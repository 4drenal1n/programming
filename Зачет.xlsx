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gbru\Downloads\"/>
    </mc:Choice>
  </mc:AlternateContent>
  <xr:revisionPtr revIDLastSave="0" documentId="13_ncr:1_{A71A2D93-CF22-4F9D-AFBA-ABB43DFD1D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Задание 2" sheetId="1" r:id="rId1"/>
    <sheet name="Задание 3" sheetId="2" r:id="rId2"/>
    <sheet name="Задание 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11" i="2"/>
  <c r="B12" i="2" s="1"/>
  <c r="C11" i="2"/>
  <c r="D7" i="2"/>
  <c r="D8" i="2"/>
  <c r="D9" i="2"/>
  <c r="D10" i="2"/>
  <c r="D5" i="2"/>
  <c r="C8" i="1"/>
  <c r="B8" i="1"/>
  <c r="C7" i="1"/>
  <c r="B7" i="1"/>
  <c r="E6" i="2" l="1"/>
  <c r="E11" i="2"/>
  <c r="B13" i="2" s="1"/>
  <c r="B14" i="2" s="1"/>
  <c r="E5" i="2"/>
  <c r="E9" i="2"/>
  <c r="E10" i="2"/>
  <c r="E8" i="2"/>
  <c r="E7" i="2"/>
</calcChain>
</file>

<file path=xl/sharedStrings.xml><?xml version="1.0" encoding="utf-8"?>
<sst xmlns="http://schemas.openxmlformats.org/spreadsheetml/2006/main" count="31" uniqueCount="28">
  <si>
    <t>Баллы</t>
  </si>
  <si>
    <t>Группа В</t>
  </si>
  <si>
    <t>[100-80)</t>
  </si>
  <si>
    <t>[80-60)</t>
  </si>
  <si>
    <t>[60-40)</t>
  </si>
  <si>
    <t>[40-20)</t>
  </si>
  <si>
    <t>Группа А</t>
  </si>
  <si>
    <t>Среднее значение</t>
  </si>
  <si>
    <t>Середина</t>
  </si>
  <si>
    <t>Дисперсия</t>
  </si>
  <si>
    <t>A&gt;B</t>
  </si>
  <si>
    <t>Ответ:
Средний балл выше в группе 
A
Разброс результатов меньше в группе 
B</t>
  </si>
  <si>
    <t>Интервал</t>
  </si>
  <si>
    <t>x</t>
  </si>
  <si>
    <t>f</t>
  </si>
  <si>
    <t>f*x</t>
  </si>
  <si>
    <t>(x - x̄)² * f</t>
  </si>
  <si>
    <t>0-10</t>
  </si>
  <si>
    <t>20-30</t>
  </si>
  <si>
    <t>30-40</t>
  </si>
  <si>
    <t>40-50</t>
  </si>
  <si>
    <t>50-60</t>
  </si>
  <si>
    <t>Итого</t>
  </si>
  <si>
    <t>Среднее квадратичное отклонение</t>
  </si>
  <si>
    <t>Значение</t>
  </si>
  <si>
    <t>Частота</t>
  </si>
  <si>
    <t>Мода</t>
  </si>
  <si>
    <t>2 (2), 5 (2) и 6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</si>
</sst>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  <charset val="204"/>
    </font>
    <font>
      <sz val="9"/>
      <color rgb="FF0F1115"/>
      <name val="Cambria"/>
      <family val="1"/>
      <charset val="204"/>
    </font>
    <font>
      <sz val="9"/>
      <color theme="1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1" fillId="2" borderId="0" xfId="0" applyFont="1" applyFill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Гистрограмма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9372703412073484E-2"/>
          <c:y val="0.19986702127659578"/>
          <c:w val="0.84396062992125986"/>
          <c:h val="0.6387708019210364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'Задание 3'!$A$5:$A$10</c:f>
              <c:strCache>
                <c:ptCount val="6"/>
                <c:pt idx="0">
                  <c:v>0-10</c:v>
                </c:pt>
                <c:pt idx="1">
                  <c:v>окт.20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50-60</c:v>
                </c:pt>
              </c:strCache>
            </c:strRef>
          </c:cat>
          <c:val>
            <c:numRef>
              <c:f>'Задание 3'!$C$5:$C$10</c:f>
              <c:numCache>
                <c:formatCode>General</c:formatCode>
                <c:ptCount val="6"/>
                <c:pt idx="0">
                  <c:v>15</c:v>
                </c:pt>
                <c:pt idx="1">
                  <c:v>7</c:v>
                </c:pt>
                <c:pt idx="2">
                  <c:v>10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D-40A6-8CE2-B69627A63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878975"/>
        <c:axId val="423879935"/>
      </c:barChart>
      <c:catAx>
        <c:axId val="423878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Интервал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3879935"/>
        <c:crosses val="autoZero"/>
        <c:auto val="1"/>
        <c:lblAlgn val="ctr"/>
        <c:lblOffset val="100"/>
        <c:noMultiLvlLbl val="0"/>
      </c:catAx>
      <c:valAx>
        <c:axId val="42387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387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346710</xdr:colOff>
      <xdr:row>3</xdr:row>
      <xdr:rowOff>47625</xdr:rowOff>
    </xdr:from>
    <xdr:to>
      <xdr:col>14</xdr:col>
      <xdr:colOff>41910</xdr:colOff>
      <xdr:row>15</xdr:row>
      <xdr:rowOff>93345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1361E96-C3FD-BA4C-E28B-83951392A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G5" sqref="G5"/>
    </sheetView>
  </sheetViews>
  <sheetFormatPr defaultRowHeight="15" x14ac:dyDescent="0.25"/>
  <cols>
    <col min="1" max="1" width="17.85546875" customWidth="1"/>
    <col min="2" max="2" width="9.42578125" bestFit="1" customWidth="1"/>
  </cols>
  <sheetData>
    <row r="1" spans="1:9" ht="99" customHeight="1" x14ac:dyDescent="0.25">
      <c r="A1" s="1" t="s">
        <v>0</v>
      </c>
      <c r="B1" s="1" t="s">
        <v>6</v>
      </c>
      <c r="C1" s="1" t="s">
        <v>1</v>
      </c>
      <c r="E1" s="1" t="s">
        <v>8</v>
      </c>
      <c r="G1" s="9" t="s">
        <v>11</v>
      </c>
      <c r="H1" s="10"/>
      <c r="I1" s="10"/>
    </row>
    <row r="2" spans="1:9" x14ac:dyDescent="0.25">
      <c r="A2" s="1" t="s">
        <v>2</v>
      </c>
      <c r="B2" s="1">
        <v>4</v>
      </c>
      <c r="C2" s="1">
        <v>3</v>
      </c>
      <c r="E2" s="1">
        <v>90</v>
      </c>
    </row>
    <row r="3" spans="1:9" x14ac:dyDescent="0.25">
      <c r="A3" s="1" t="s">
        <v>3</v>
      </c>
      <c r="B3" s="1">
        <v>8</v>
      </c>
      <c r="C3" s="1">
        <v>10</v>
      </c>
      <c r="E3" s="1">
        <v>70</v>
      </c>
    </row>
    <row r="4" spans="1:9" x14ac:dyDescent="0.25">
      <c r="A4" s="1" t="s">
        <v>4</v>
      </c>
      <c r="B4" s="1">
        <v>9</v>
      </c>
      <c r="C4" s="1">
        <v>11</v>
      </c>
      <c r="E4" s="1">
        <v>50</v>
      </c>
    </row>
    <row r="5" spans="1:9" x14ac:dyDescent="0.25">
      <c r="A5" s="1" t="s">
        <v>5</v>
      </c>
      <c r="B5" s="1">
        <v>2</v>
      </c>
      <c r="C5" s="1">
        <v>3</v>
      </c>
      <c r="E5" s="1">
        <v>30</v>
      </c>
    </row>
    <row r="7" spans="1:9" x14ac:dyDescent="0.25">
      <c r="A7" s="1" t="s">
        <v>7</v>
      </c>
      <c r="B7" s="2">
        <f>(B2*$E$2+B3*$E$3+B4*$E$4+B5*$E$5)/23</f>
        <v>62.173913043478258</v>
      </c>
      <c r="C7" s="2">
        <f>(C2*$E$2+C3*$E$3+C4*$E$4+C5*$E$5)/27</f>
        <v>59.629629629629626</v>
      </c>
      <c r="D7" t="s">
        <v>10</v>
      </c>
    </row>
    <row r="8" spans="1:9" x14ac:dyDescent="0.25">
      <c r="A8" s="1" t="s">
        <v>9</v>
      </c>
      <c r="B8" s="3">
        <f>(($E$2-B7)^2*B2+($E$3-B7)^2*B3+($E$4-B7)^2*B4+($E$5-B7)^2*B5)/23</f>
        <v>303.96975425330811</v>
      </c>
      <c r="C8" s="3">
        <f>(($E$2-C7)^2*C2+($E$3-C7)^2*C3+($E$4-C7)^2*C4+($E$5-C7)^2*C5)/27</f>
        <v>277.64060356652948</v>
      </c>
      <c r="D8" t="s">
        <v>10</v>
      </c>
    </row>
  </sheetData>
  <mergeCells count="1"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7328-31E6-424B-A561-E0DDEF1B764D}">
  <dimension ref="A4:E14"/>
  <sheetViews>
    <sheetView workbookViewId="0">
      <selection activeCell="D19" sqref="D19"/>
    </sheetView>
  </sheetViews>
  <sheetFormatPr defaultRowHeight="15" x14ac:dyDescent="0.25"/>
  <cols>
    <col min="1" max="1" width="10.7109375" customWidth="1"/>
  </cols>
  <sheetData>
    <row r="4" spans="1:5" x14ac:dyDescent="0.25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</row>
    <row r="5" spans="1:5" x14ac:dyDescent="0.25">
      <c r="A5" s="5" t="s">
        <v>17</v>
      </c>
      <c r="B5" s="5">
        <v>5</v>
      </c>
      <c r="C5" s="5">
        <v>15</v>
      </c>
      <c r="D5" s="5">
        <f>B5*C5</f>
        <v>75</v>
      </c>
      <c r="E5" s="6">
        <f>(B5 - $B$12)^2 * C5</f>
        <v>6365.4000000000015</v>
      </c>
    </row>
    <row r="6" spans="1:5" x14ac:dyDescent="0.25">
      <c r="A6" s="7">
        <v>44105</v>
      </c>
      <c r="B6" s="5">
        <v>15</v>
      </c>
      <c r="C6" s="5">
        <v>7</v>
      </c>
      <c r="D6" s="5">
        <f>B6*C6</f>
        <v>105</v>
      </c>
      <c r="E6" s="6">
        <f>(B6 - $B$12)^2 * C6</f>
        <v>786.52000000000021</v>
      </c>
    </row>
    <row r="7" spans="1:5" x14ac:dyDescent="0.25">
      <c r="A7" s="5" t="s">
        <v>18</v>
      </c>
      <c r="B7" s="5">
        <v>25</v>
      </c>
      <c r="C7" s="5">
        <v>10</v>
      </c>
      <c r="D7" s="5">
        <f t="shared" ref="D7:D10" si="0">B7*C7</f>
        <v>250</v>
      </c>
      <c r="E7" s="6">
        <f>(B7 - $B$12)^2 * C7</f>
        <v>3.600000000000017</v>
      </c>
    </row>
    <row r="8" spans="1:5" x14ac:dyDescent="0.25">
      <c r="A8" s="5" t="s">
        <v>19</v>
      </c>
      <c r="B8" s="5">
        <v>35</v>
      </c>
      <c r="C8" s="5">
        <v>4</v>
      </c>
      <c r="D8" s="5">
        <f t="shared" si="0"/>
        <v>140</v>
      </c>
      <c r="E8" s="6">
        <f>(B8 - $B$12)^2 * C8</f>
        <v>353.43999999999988</v>
      </c>
    </row>
    <row r="9" spans="1:5" x14ac:dyDescent="0.25">
      <c r="A9" s="5" t="s">
        <v>20</v>
      </c>
      <c r="B9" s="5">
        <v>45</v>
      </c>
      <c r="C9" s="5">
        <v>6</v>
      </c>
      <c r="D9" s="5">
        <f t="shared" si="0"/>
        <v>270</v>
      </c>
      <c r="E9" s="6">
        <f>(B9 - $B$12)^2 * C9</f>
        <v>2258.16</v>
      </c>
    </row>
    <row r="10" spans="1:5" x14ac:dyDescent="0.25">
      <c r="A10" s="5" t="s">
        <v>21</v>
      </c>
      <c r="B10" s="5">
        <v>55</v>
      </c>
      <c r="C10" s="5">
        <v>8</v>
      </c>
      <c r="D10" s="5">
        <f t="shared" si="0"/>
        <v>440</v>
      </c>
      <c r="E10" s="6">
        <f>(B10 - $B$12)^2 * C10</f>
        <v>6914.8799999999992</v>
      </c>
    </row>
    <row r="11" spans="1:5" x14ac:dyDescent="0.25">
      <c r="A11" s="5" t="s">
        <v>22</v>
      </c>
      <c r="B11" s="5"/>
      <c r="C11" s="5">
        <f>SUM(C5:C10)</f>
        <v>50</v>
      </c>
      <c r="D11" s="5">
        <f>SUM(D5:D10)</f>
        <v>1280</v>
      </c>
      <c r="E11" s="6">
        <f>(B11 - $B$12)^2 * C11</f>
        <v>32768.000000000007</v>
      </c>
    </row>
    <row r="12" spans="1:5" ht="24" x14ac:dyDescent="0.25">
      <c r="A12" s="5" t="s">
        <v>7</v>
      </c>
      <c r="B12" s="5">
        <f>D11/C11</f>
        <v>25.6</v>
      </c>
      <c r="C12" s="4"/>
      <c r="D12" s="4"/>
      <c r="E12" s="4"/>
    </row>
    <row r="13" spans="1:5" x14ac:dyDescent="0.25">
      <c r="A13" s="5" t="s">
        <v>9</v>
      </c>
      <c r="B13" s="8">
        <f>E11/C11</f>
        <v>655.36000000000013</v>
      </c>
    </row>
    <row r="14" spans="1:5" ht="48" x14ac:dyDescent="0.25">
      <c r="A14" s="5" t="s">
        <v>23</v>
      </c>
      <c r="B14" s="8">
        <f>SQRT(B13)</f>
        <v>25.6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6BF4-A219-4D01-BE07-9942DB073AF9}">
  <dimension ref="A8:H11"/>
  <sheetViews>
    <sheetView workbookViewId="0">
      <selection activeCell="J21" sqref="J21"/>
    </sheetView>
  </sheetViews>
  <sheetFormatPr defaultRowHeight="15" x14ac:dyDescent="0.25"/>
  <cols>
    <col min="2" max="2" width="15.5703125" customWidth="1"/>
  </cols>
  <sheetData>
    <row r="8" spans="1:8" x14ac:dyDescent="0.25">
      <c r="A8" s="1" t="s">
        <v>24</v>
      </c>
      <c r="B8" s="1">
        <v>0</v>
      </c>
      <c r="C8" s="1">
        <v>1</v>
      </c>
      <c r="D8" s="1">
        <v>2</v>
      </c>
      <c r="E8" s="1">
        <v>3</v>
      </c>
      <c r="F8" s="1">
        <v>4</v>
      </c>
      <c r="G8" s="1">
        <v>5</v>
      </c>
      <c r="H8" s="1">
        <v>6</v>
      </c>
    </row>
    <row r="9" spans="1:8" x14ac:dyDescent="0.25">
      <c r="A9" s="1" t="s">
        <v>25</v>
      </c>
      <c r="B9" s="1">
        <v>1</v>
      </c>
      <c r="C9" s="1">
        <v>1</v>
      </c>
      <c r="D9" s="1">
        <v>2</v>
      </c>
      <c r="E9" s="1">
        <v>1</v>
      </c>
      <c r="F9" s="1">
        <v>1</v>
      </c>
      <c r="G9" s="1">
        <v>2</v>
      </c>
      <c r="H9" s="1">
        <v>2</v>
      </c>
    </row>
    <row r="11" spans="1:8" x14ac:dyDescent="0.25">
      <c r="A11" s="1" t="s">
        <v>26</v>
      </c>
      <c r="B1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2</vt:lpstr>
      <vt:lpstr>Задание 3</vt:lpstr>
      <vt:lpstr>Задание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Артём ввввввв</cp:lastModifiedBy>
  <dcterms:created xsi:type="dcterms:W3CDTF">2015-06-05T18:19:34Z</dcterms:created>
  <dcterms:modified xsi:type="dcterms:W3CDTF">2026-04-17T16:16:22Z</dcterms:modified>
</cp:coreProperties>
</file>